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eoInformatics Company\Transportation Projects\phase 3\الاقتصادي\الاسماعيلية\"/>
    </mc:Choice>
  </mc:AlternateContent>
  <xr:revisionPtr revIDLastSave="0" documentId="13_ncr:1_{19616C1D-5096-48EC-892E-28E994B125C1}" xr6:coauthVersionLast="47" xr6:coauthVersionMax="47" xr10:uidLastSave="{00000000-0000-0000-0000-000000000000}"/>
  <bookViews>
    <workbookView xWindow="-108" yWindow="-108" windowWidth="23256" windowHeight="13896" xr2:uid="{AB95CAF7-C182-4D77-9ABA-905C130F77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" l="1"/>
  <c r="C40" i="1" s="1"/>
  <c r="B39" i="1"/>
  <c r="B38" i="1"/>
  <c r="B37" i="1"/>
  <c r="F25" i="1"/>
  <c r="F26" i="1" s="1"/>
  <c r="C25" i="1"/>
  <c r="C26" i="1" s="1"/>
  <c r="B24" i="1"/>
  <c r="B23" i="1"/>
  <c r="C31" i="1"/>
  <c r="B31" i="1" s="1"/>
  <c r="B30" i="1"/>
  <c r="B29" i="1"/>
  <c r="B25" i="1" l="1"/>
  <c r="C32" i="1"/>
  <c r="C7" i="1"/>
  <c r="C8" i="1" s="1"/>
  <c r="C19" i="1"/>
  <c r="C20" i="1" s="1"/>
  <c r="C13" i="1"/>
  <c r="C14" i="1" s="1"/>
  <c r="F7" i="1"/>
  <c r="F8" i="1" s="1"/>
  <c r="F13" i="1"/>
  <c r="F14" i="1" s="1"/>
  <c r="F19" i="1"/>
  <c r="F20" i="1" s="1"/>
  <c r="B18" i="1"/>
  <c r="B17" i="1"/>
  <c r="B12" i="1"/>
  <c r="B11" i="1"/>
  <c r="B6" i="1"/>
  <c r="B5" i="1"/>
  <c r="B19" i="1" l="1"/>
  <c r="B7" i="1"/>
  <c r="B13" i="1"/>
</calcChain>
</file>

<file path=xl/sharedStrings.xml><?xml version="1.0" encoding="utf-8"?>
<sst xmlns="http://schemas.openxmlformats.org/spreadsheetml/2006/main" count="40" uniqueCount="22">
  <si>
    <t>مساحة الاراضي الزراعية بالفدان</t>
  </si>
  <si>
    <t>مساحة الاراضي الزراعية بالكيلومتر مربع</t>
  </si>
  <si>
    <t>Agricaltural changes</t>
  </si>
  <si>
    <t>Urban changes</t>
  </si>
  <si>
    <t>Industrial changes</t>
  </si>
  <si>
    <t>اسعار  الاراضي الزراعية</t>
  </si>
  <si>
    <t>اسعار  الاراضي العمرانية</t>
  </si>
  <si>
    <t>اسعار  الاراضي الصناعية</t>
  </si>
  <si>
    <t>Difference</t>
  </si>
  <si>
    <t>نسبة التغير</t>
  </si>
  <si>
    <t>نسبة التغير %</t>
  </si>
  <si>
    <t>مساحة االاراضي الفضاء بالكيلو متر مربع</t>
  </si>
  <si>
    <t>Vacant changes</t>
  </si>
  <si>
    <t>محور الإسماعيلية الصحراوي</t>
  </si>
  <si>
    <t xml:space="preserve">منطقة الدراسة </t>
  </si>
  <si>
    <t>مساحة منطقة الدراسة بالكيلو متر مربع</t>
  </si>
  <si>
    <t>مساحة الاراضي العمرانية بالكيلو متر مربع</t>
  </si>
  <si>
    <t>مساحة الاراضي الصناعية بالكيلو متر مربع</t>
  </si>
  <si>
    <t>مساحة أراضي الخدمات (خدمي - تعليمي - حكومي - ديني - سياحي - ترفيهي - مقابر) بالكيلو متر مربع</t>
  </si>
  <si>
    <t>اسعار  أراضي الخدمات</t>
  </si>
  <si>
    <t>مساحة الاراضي  بالفدان</t>
  </si>
  <si>
    <t>مساحة الأراضي التي لم تسعر (قوات مسلحة - مسطحات خضراء - حرم طرق - مسطحات مائية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</si>
</sst>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CC0D-FCDA-4B0B-A854-499ADCA87F3E}">
  <dimension ref="A1:K44"/>
  <sheetViews>
    <sheetView tabSelected="1" zoomScaleNormal="100" workbookViewId="0">
      <selection activeCell="J19" sqref="J19"/>
    </sheetView>
  </sheetViews>
  <sheetFormatPr defaultColWidth="9.109375" defaultRowHeight="14.4" x14ac:dyDescent="0.3"/>
  <cols>
    <col min="1" max="1" width="19" style="3" bestFit="1" customWidth="1"/>
    <col min="2" max="2" width="23.33203125" style="3" bestFit="1" customWidth="1"/>
    <col min="3" max="3" width="33" style="3" customWidth="1"/>
    <col min="4" max="5" width="9.109375" style="3"/>
    <col min="6" max="6" width="22.5546875" style="3" bestFit="1" customWidth="1"/>
    <col min="7" max="16384" width="9.109375" style="3"/>
  </cols>
  <sheetData>
    <row r="1" spans="1:11" ht="14.4" customHeight="1" x14ac:dyDescent="0.3">
      <c r="A1" s="10" t="s">
        <v>13</v>
      </c>
      <c r="B1" s="10"/>
      <c r="C1" s="10"/>
      <c r="D1" s="10"/>
      <c r="E1" s="10"/>
      <c r="F1" s="10"/>
    </row>
    <row r="2" spans="1:11" ht="14.4" customHeight="1" x14ac:dyDescent="0.3">
      <c r="A2" s="10"/>
      <c r="B2" s="10"/>
      <c r="C2" s="10"/>
      <c r="D2" s="10"/>
      <c r="E2" s="10"/>
      <c r="F2" s="10"/>
    </row>
    <row r="3" spans="1:11" ht="36.6" customHeight="1" x14ac:dyDescent="0.3">
      <c r="A3" s="10"/>
      <c r="B3" s="10"/>
      <c r="C3" s="10"/>
      <c r="D3" s="10"/>
      <c r="E3" s="10"/>
      <c r="F3" s="10"/>
    </row>
    <row r="4" spans="1:11" x14ac:dyDescent="0.3">
      <c r="A4" s="11" t="s">
        <v>0</v>
      </c>
      <c r="B4" s="11"/>
      <c r="C4" s="1" t="s">
        <v>1</v>
      </c>
      <c r="E4" s="2"/>
      <c r="F4" s="2" t="s">
        <v>5</v>
      </c>
    </row>
    <row r="5" spans="1:11" x14ac:dyDescent="0.3">
      <c r="A5" s="1">
        <v>2016</v>
      </c>
      <c r="B5" s="4">
        <f>C5*238.09</f>
        <v>166737.13383978154</v>
      </c>
      <c r="C5" s="4">
        <v>700.3113689772</v>
      </c>
      <c r="E5" s="2">
        <v>2016</v>
      </c>
      <c r="F5" s="4">
        <v>94777205283.458298</v>
      </c>
      <c r="G5" s="5"/>
    </row>
    <row r="6" spans="1:11" x14ac:dyDescent="0.3">
      <c r="A6" s="1">
        <v>2026</v>
      </c>
      <c r="B6" s="4">
        <f>C6*238.09</f>
        <v>224243.35367046879</v>
      </c>
      <c r="C6" s="4">
        <v>941.84280595769997</v>
      </c>
      <c r="E6" s="2">
        <v>2026</v>
      </c>
      <c r="F6" s="4">
        <v>456644273464.86798</v>
      </c>
      <c r="G6" s="5"/>
    </row>
    <row r="7" spans="1:11" x14ac:dyDescent="0.3">
      <c r="A7" s="1" t="s">
        <v>2</v>
      </c>
      <c r="B7" s="4">
        <f>C7*238.09</f>
        <v>57506.219830687238</v>
      </c>
      <c r="C7" s="4">
        <f>C6-C5</f>
        <v>241.53143698049996</v>
      </c>
      <c r="D7" s="5"/>
      <c r="E7" s="2" t="s">
        <v>8</v>
      </c>
      <c r="F7" s="4">
        <f>F6-F5</f>
        <v>361867068181.40967</v>
      </c>
      <c r="G7" s="5"/>
    </row>
    <row r="8" spans="1:11" x14ac:dyDescent="0.3">
      <c r="A8" s="1" t="s">
        <v>9</v>
      </c>
      <c r="B8" s="6"/>
      <c r="C8" s="8">
        <f>(C7/C5)</f>
        <v>0.34489149781083089</v>
      </c>
      <c r="E8" s="2" t="s">
        <v>10</v>
      </c>
      <c r="F8" s="8">
        <f>(F7/F5)</f>
        <v>3.8180812263786725</v>
      </c>
    </row>
    <row r="10" spans="1:11" x14ac:dyDescent="0.3">
      <c r="A10" s="11" t="s">
        <v>20</v>
      </c>
      <c r="B10" s="11"/>
      <c r="C10" s="1" t="s">
        <v>16</v>
      </c>
      <c r="E10" s="2"/>
      <c r="F10" s="2" t="s">
        <v>6</v>
      </c>
    </row>
    <row r="11" spans="1:11" x14ac:dyDescent="0.3">
      <c r="A11" s="1">
        <v>2016</v>
      </c>
      <c r="B11" s="4">
        <f>C11*238.09</f>
        <v>44424.486496676102</v>
      </c>
      <c r="C11" s="4">
        <v>186.58694819889999</v>
      </c>
      <c r="E11" s="2">
        <v>2016</v>
      </c>
      <c r="F11" s="4">
        <v>316606478701.80603</v>
      </c>
    </row>
    <row r="12" spans="1:11" x14ac:dyDescent="0.3">
      <c r="A12" s="1">
        <v>2026</v>
      </c>
      <c r="B12" s="4">
        <f t="shared" ref="B12:B13" si="0">C12*238.09</f>
        <v>59097.853385240582</v>
      </c>
      <c r="C12" s="4">
        <v>248.2164449798</v>
      </c>
      <c r="E12" s="2">
        <v>2026</v>
      </c>
      <c r="F12" s="4">
        <v>5683827610371.0898</v>
      </c>
    </row>
    <row r="13" spans="1:11" x14ac:dyDescent="0.3">
      <c r="A13" s="1" t="s">
        <v>3</v>
      </c>
      <c r="B13" s="4">
        <f t="shared" si="0"/>
        <v>14673.366888564484</v>
      </c>
      <c r="C13" s="4">
        <f>C12-C11</f>
        <v>61.629496780900013</v>
      </c>
      <c r="D13" s="5"/>
      <c r="E13" s="2" t="s">
        <v>8</v>
      </c>
      <c r="F13" s="4">
        <f>F12-F11</f>
        <v>5367221131669.2842</v>
      </c>
      <c r="J13" s="5"/>
      <c r="K13" s="5"/>
    </row>
    <row r="14" spans="1:11" x14ac:dyDescent="0.3">
      <c r="A14" s="1" t="s">
        <v>9</v>
      </c>
      <c r="B14" s="6"/>
      <c r="C14" s="8">
        <f>(C13/C11)</f>
        <v>0.33029907705657702</v>
      </c>
      <c r="E14" s="2" t="s">
        <v>10</v>
      </c>
      <c r="F14" s="8">
        <f>(F13/F11)</f>
        <v>16.952341448212657</v>
      </c>
      <c r="I14" s="5"/>
      <c r="K14" s="5"/>
    </row>
    <row r="15" spans="1:11" x14ac:dyDescent="0.3">
      <c r="K15" s="5"/>
    </row>
    <row r="16" spans="1:11" x14ac:dyDescent="0.3">
      <c r="A16" s="11" t="s">
        <v>20</v>
      </c>
      <c r="B16" s="11"/>
      <c r="C16" s="1" t="s">
        <v>17</v>
      </c>
      <c r="E16" s="2"/>
      <c r="F16" s="2" t="s">
        <v>7</v>
      </c>
    </row>
    <row r="17" spans="1:6" x14ac:dyDescent="0.3">
      <c r="A17" s="1">
        <v>2016</v>
      </c>
      <c r="B17" s="4">
        <f>C17*238.09</f>
        <v>14163.742666258322</v>
      </c>
      <c r="C17" s="4">
        <v>59.489027956900003</v>
      </c>
      <c r="E17" s="2">
        <v>2016</v>
      </c>
      <c r="F17" s="4">
        <v>35600984498.398399</v>
      </c>
    </row>
    <row r="18" spans="1:6" x14ac:dyDescent="0.3">
      <c r="A18" s="1">
        <v>2026</v>
      </c>
      <c r="B18" s="4">
        <f t="shared" ref="B18:B19" si="1">C18*238.09</f>
        <v>18655.726842551321</v>
      </c>
      <c r="C18" s="4">
        <v>78.355776565799999</v>
      </c>
      <c r="E18" s="2">
        <v>2026</v>
      </c>
      <c r="F18" s="4">
        <v>760199655768.46997</v>
      </c>
    </row>
    <row r="19" spans="1:6" x14ac:dyDescent="0.3">
      <c r="A19" s="1" t="s">
        <v>4</v>
      </c>
      <c r="B19" s="4">
        <f t="shared" si="1"/>
        <v>4491.984176293</v>
      </c>
      <c r="C19" s="4">
        <f>C18-C17</f>
        <v>18.866748608899996</v>
      </c>
      <c r="D19" s="5"/>
      <c r="E19" s="2" t="s">
        <v>8</v>
      </c>
      <c r="F19" s="4">
        <f>F18-F17</f>
        <v>724598671270.07153</v>
      </c>
    </row>
    <row r="20" spans="1:6" x14ac:dyDescent="0.3">
      <c r="A20" s="1" t="s">
        <v>9</v>
      </c>
      <c r="B20" s="6"/>
      <c r="C20" s="7">
        <f>(C19/C17)*100</f>
        <v>31.71466950606256</v>
      </c>
      <c r="E20" s="2" t="s">
        <v>10</v>
      </c>
      <c r="F20" s="8">
        <f>(F19/F17)</f>
        <v>20.353332400194422</v>
      </c>
    </row>
    <row r="22" spans="1:6" ht="43.2" x14ac:dyDescent="0.3">
      <c r="A22" s="16" t="s">
        <v>20</v>
      </c>
      <c r="B22" s="16"/>
      <c r="C22" s="14" t="s">
        <v>18</v>
      </c>
      <c r="E22" s="2"/>
      <c r="F22" s="15" t="s">
        <v>19</v>
      </c>
    </row>
    <row r="23" spans="1:6" x14ac:dyDescent="0.3">
      <c r="A23" s="1">
        <v>2016</v>
      </c>
      <c r="B23" s="4">
        <f>C23*238.09</f>
        <v>15446.513561225378</v>
      </c>
      <c r="C23" s="4">
        <v>64.876784246400007</v>
      </c>
      <c r="E23" s="2">
        <v>2016</v>
      </c>
      <c r="F23" s="4">
        <v>154847523703.737</v>
      </c>
    </row>
    <row r="24" spans="1:6" x14ac:dyDescent="0.3">
      <c r="A24" s="1">
        <v>2026</v>
      </c>
      <c r="B24" s="4">
        <f t="shared" ref="B24:B25" si="2">C24*238.09</f>
        <v>18433.823459318872</v>
      </c>
      <c r="C24" s="4">
        <v>77.423761851899997</v>
      </c>
      <c r="E24" s="2">
        <v>2026</v>
      </c>
      <c r="F24" s="4">
        <v>1316203951481.76</v>
      </c>
    </row>
    <row r="25" spans="1:6" x14ac:dyDescent="0.3">
      <c r="A25" s="1" t="s">
        <v>4</v>
      </c>
      <c r="B25" s="4">
        <f t="shared" si="2"/>
        <v>2987.3098980934924</v>
      </c>
      <c r="C25" s="4">
        <f>C24-C23</f>
        <v>12.54697760549999</v>
      </c>
      <c r="E25" s="2" t="s">
        <v>8</v>
      </c>
      <c r="F25" s="4">
        <f>F24-F23</f>
        <v>1161356427778.0229</v>
      </c>
    </row>
    <row r="26" spans="1:6" x14ac:dyDescent="0.3">
      <c r="A26" s="1" t="s">
        <v>9</v>
      </c>
      <c r="B26" s="6"/>
      <c r="C26" s="7">
        <f>(C25/C23)*100</f>
        <v>19.339703333394205</v>
      </c>
      <c r="E26" s="2" t="s">
        <v>10</v>
      </c>
      <c r="F26" s="8">
        <f>(F25/F23)</f>
        <v>7.4999999999999707</v>
      </c>
    </row>
    <row r="27" spans="1:6" x14ac:dyDescent="0.3">
      <c r="A27" s="12"/>
      <c r="B27" s="12"/>
      <c r="C27" s="13"/>
    </row>
    <row r="28" spans="1:6" x14ac:dyDescent="0.3">
      <c r="A28" s="11" t="s">
        <v>20</v>
      </c>
      <c r="B28" s="11"/>
      <c r="C28" s="1" t="s">
        <v>11</v>
      </c>
    </row>
    <row r="29" spans="1:6" x14ac:dyDescent="0.3">
      <c r="A29" s="1">
        <v>2016</v>
      </c>
      <c r="B29" s="4">
        <f>C29*238.09</f>
        <v>306023.83992906945</v>
      </c>
      <c r="C29" s="4">
        <v>1285.3284049270001</v>
      </c>
    </row>
    <row r="30" spans="1:6" x14ac:dyDescent="0.3">
      <c r="A30" s="1">
        <v>2026</v>
      </c>
      <c r="B30" s="4">
        <f t="shared" ref="B30:B31" si="3">C30*238.09</f>
        <v>226025.48757727933</v>
      </c>
      <c r="C30" s="4">
        <v>949.3279330391</v>
      </c>
    </row>
    <row r="31" spans="1:6" x14ac:dyDescent="0.3">
      <c r="A31" s="1" t="s">
        <v>12</v>
      </c>
      <c r="B31" s="4">
        <f t="shared" si="3"/>
        <v>-79998.352351790134</v>
      </c>
      <c r="C31" s="4">
        <f>C30-C29</f>
        <v>-336.00047188790006</v>
      </c>
    </row>
    <row r="32" spans="1:6" x14ac:dyDescent="0.3">
      <c r="A32" s="1" t="s">
        <v>9</v>
      </c>
      <c r="B32" s="6"/>
      <c r="C32" s="7">
        <f>(C31/C29)*100</f>
        <v>-26.141215785780687</v>
      </c>
    </row>
    <row r="34" spans="1:6" ht="28.8" x14ac:dyDescent="0.3">
      <c r="C34" s="17" t="s">
        <v>21</v>
      </c>
      <c r="E34" s="5"/>
    </row>
    <row r="35" spans="1:6" x14ac:dyDescent="0.3">
      <c r="E35" s="5"/>
    </row>
    <row r="36" spans="1:6" ht="28.8" x14ac:dyDescent="0.3">
      <c r="A36" s="16" t="s">
        <v>20</v>
      </c>
      <c r="B36" s="16"/>
      <c r="C36" s="14" t="s">
        <v>21</v>
      </c>
    </row>
    <row r="37" spans="1:6" x14ac:dyDescent="0.3">
      <c r="A37" s="1">
        <v>2016</v>
      </c>
      <c r="B37" s="4">
        <f>C37*238.09</f>
        <v>68386.712552104917</v>
      </c>
      <c r="C37" s="4">
        <v>287.23051179010002</v>
      </c>
    </row>
    <row r="38" spans="1:6" x14ac:dyDescent="0.3">
      <c r="A38" s="1">
        <v>2026</v>
      </c>
      <c r="B38" s="4">
        <f t="shared" ref="B38:B39" si="4">C38*238.09</f>
        <v>68726.087143294892</v>
      </c>
      <c r="C38" s="4">
        <v>288.65591643200003</v>
      </c>
    </row>
    <row r="39" spans="1:6" x14ac:dyDescent="0.3">
      <c r="A39" s="1" t="s">
        <v>12</v>
      </c>
      <c r="B39" s="4">
        <f t="shared" si="4"/>
        <v>339.37459118997145</v>
      </c>
      <c r="C39" s="4">
        <f>C38-C37</f>
        <v>1.4254046419000019</v>
      </c>
    </row>
    <row r="40" spans="1:6" x14ac:dyDescent="0.3">
      <c r="A40" s="1" t="s">
        <v>9</v>
      </c>
      <c r="B40" s="6"/>
      <c r="C40" s="7">
        <f>(C39/C37)*100</f>
        <v>0.49625808658574805</v>
      </c>
      <c r="D40" s="17"/>
    </row>
    <row r="42" spans="1:6" x14ac:dyDescent="0.3">
      <c r="C42" s="9"/>
    </row>
    <row r="43" spans="1:6" x14ac:dyDescent="0.3">
      <c r="A43" s="11"/>
      <c r="B43" s="11"/>
      <c r="C43" s="1" t="s">
        <v>15</v>
      </c>
      <c r="F43" s="5"/>
    </row>
    <row r="44" spans="1:6" x14ac:dyDescent="0.3">
      <c r="A44" s="1" t="s">
        <v>14</v>
      </c>
      <c r="C44" s="3">
        <v>2583.8000000000002</v>
      </c>
      <c r="F44" s="5"/>
    </row>
  </sheetData>
  <mergeCells count="8">
    <mergeCell ref="A1:F3"/>
    <mergeCell ref="A43:B43"/>
    <mergeCell ref="A4:B4"/>
    <mergeCell ref="A10:B10"/>
    <mergeCell ref="A16:B16"/>
    <mergeCell ref="A28:B28"/>
    <mergeCell ref="A22:B22"/>
    <mergeCell ref="A36:B36"/>
  </mergeCells>
  <printOptions verticalCentered="1"/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 Youniss</dc:creator>
  <cp:lastModifiedBy>Mohamed Badawy</cp:lastModifiedBy>
  <cp:lastPrinted>2026-07-12T11:37:30Z</cp:lastPrinted>
  <dcterms:created xsi:type="dcterms:W3CDTF">2024-06-13T09:26:45Z</dcterms:created>
  <dcterms:modified xsi:type="dcterms:W3CDTF">2026-07-26T10:10:36Z</dcterms:modified>
</cp:coreProperties>
</file>